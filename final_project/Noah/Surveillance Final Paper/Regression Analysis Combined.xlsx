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edsl\Documents\Class Work\Smart Cities\Surveillance Final Paper\"/>
    </mc:Choice>
  </mc:AlternateContent>
  <xr:revisionPtr revIDLastSave="0" documentId="13_ncr:1_{18C73370-41F2-4A20-B9DE-5F9D05639100}" xr6:coauthVersionLast="47" xr6:coauthVersionMax="47" xr10:uidLastSave="{00000000-0000-0000-0000-000000000000}"/>
  <bookViews>
    <workbookView xWindow="-120" yWindow="-120" windowWidth="38640" windowHeight="21120" activeTab="1" xr2:uid="{F84989FA-3E4B-49AC-B8CB-914E0E97C1CD}"/>
  </bookViews>
  <sheets>
    <sheet name="Sheet5" sheetId="5" r:id="rId1"/>
    <sheet name="Combined" sheetId="1" r:id="rId2"/>
    <sheet name="DC Regression Analysis" sheetId="2" r:id="rId3"/>
    <sheet name="Baltimore City Regression Analy" sheetId="3" r:id="rId4"/>
    <sheet name="Baltimore Co. Regression Analy" sheetId="4" r:id="rId5"/>
  </sheet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<sst xmlns="http://schemas.openxmlformats.org/spreadsheetml/2006/main" count="205" uniqueCount="123">
  <si>
    <t>DC</t>
  </si>
  <si>
    <t>High School</t>
  </si>
  <si>
    <t>Graduation Rate</t>
  </si>
  <si>
    <t>Cameras per District</t>
  </si>
  <si>
    <t>Baltimore City</t>
  </si>
  <si>
    <t>Baltimore County</t>
  </si>
  <si>
    <t>Jackson-Reed</t>
  </si>
  <si>
    <t>Ballou</t>
  </si>
  <si>
    <t>Roosevelt</t>
  </si>
  <si>
    <t>Dunbar</t>
  </si>
  <si>
    <t>Eastern</t>
  </si>
  <si>
    <t>Anacostia</t>
  </si>
  <si>
    <t>Ellington</t>
  </si>
  <si>
    <t>Woodson</t>
  </si>
  <si>
    <t>Cardozo</t>
  </si>
  <si>
    <t>Coolidge</t>
  </si>
  <si>
    <t>Towson HS</t>
  </si>
  <si>
    <t>Perry Hall HS</t>
  </si>
  <si>
    <t>Kenwood HS</t>
  </si>
  <si>
    <t>Dundalk HS</t>
  </si>
  <si>
    <t>Chesapeake HS</t>
  </si>
  <si>
    <t>Franklin HS</t>
  </si>
  <si>
    <t>Hereford HS</t>
  </si>
  <si>
    <t>Catonsville HS</t>
  </si>
  <si>
    <t>Sparrows Point HS</t>
  </si>
  <si>
    <t>Owings Mills HS</t>
  </si>
  <si>
    <t>Randallstown HS</t>
  </si>
  <si>
    <t>Overlea HS</t>
  </si>
  <si>
    <t>Parkville HS</t>
  </si>
  <si>
    <t>New Town HS</t>
  </si>
  <si>
    <t>Woodlawn HS</t>
  </si>
  <si>
    <t>Pikesville HS</t>
  </si>
  <si>
    <t>Milford Mill Academy</t>
  </si>
  <si>
    <t>Dulaney HS</t>
  </si>
  <si>
    <t>Loch Raven HS</t>
  </si>
  <si>
    <t>Lansdowne HS</t>
  </si>
  <si>
    <t>Patapsco HS</t>
  </si>
  <si>
    <t>Allendale/Irvington/S. Hilton</t>
  </si>
  <si>
    <t>Beechfield/Ten Hills/West Hills</t>
  </si>
  <si>
    <t>Belair-Edison</t>
  </si>
  <si>
    <t>Brooklyn/Curtis Bay/Hawkins Point</t>
  </si>
  <si>
    <t>Canton</t>
  </si>
  <si>
    <t>Cedonia/Frankford</t>
  </si>
  <si>
    <t>Cherry Hill</t>
  </si>
  <si>
    <t>Chinquapin Park/Belvedere</t>
  </si>
  <si>
    <t>Claremont/Armistead</t>
  </si>
  <si>
    <t>Clifton-Berea</t>
  </si>
  <si>
    <t>Cross-Country/Cheswolde</t>
  </si>
  <si>
    <t>Dickeyville/Franklintown</t>
  </si>
  <si>
    <t>Dorchester/Ashburton</t>
  </si>
  <si>
    <t>Downtown/Seton Hill</t>
  </si>
  <si>
    <t>Edmondson Village</t>
  </si>
  <si>
    <t>Fells Point</t>
  </si>
  <si>
    <t>Forest Park/Walbrook</t>
  </si>
  <si>
    <t>Glen-Fallstaff</t>
  </si>
  <si>
    <t>Greater Charles Village/Barclay</t>
  </si>
  <si>
    <t>Greater Govans</t>
  </si>
  <si>
    <t>Greater Mondawmin</t>
  </si>
  <si>
    <t>Greater Roland Park/Poplar Hill</t>
  </si>
  <si>
    <t>Greater Rosemont</t>
  </si>
  <si>
    <t>Greenmount East</t>
  </si>
  <si>
    <t>Hamilton</t>
  </si>
  <si>
    <t>Harbor East/Little Italy</t>
  </si>
  <si>
    <t>Harford/Echodale</t>
  </si>
  <si>
    <t>Highlandtown</t>
  </si>
  <si>
    <t>Howard Park/West Arlington</t>
  </si>
  <si>
    <t>Inner Harbor/Federal Hill</t>
  </si>
  <si>
    <t>Lauraville</t>
  </si>
  <si>
    <t>Loch Raven</t>
  </si>
  <si>
    <t>Madison/East End</t>
  </si>
  <si>
    <t>Medfield/Hampden/Woodberry/Remington</t>
  </si>
  <si>
    <t>Midtown</t>
  </si>
  <si>
    <t>Midway/Coldstream</t>
  </si>
  <si>
    <t>Morrell Park/Violetville</t>
  </si>
  <si>
    <t>Mount Washington/Coldspring</t>
  </si>
  <si>
    <t>North Baltimore/Guilford/Homeland</t>
  </si>
  <si>
    <t>Northwood</t>
  </si>
  <si>
    <t>Oldtown/Middle East</t>
  </si>
  <si>
    <t>Orangeville/East Highlandtown</t>
  </si>
  <si>
    <t>Patterson Park North &amp; East</t>
  </si>
  <si>
    <t>Penn North/Reservoir Hill</t>
  </si>
  <si>
    <t>Pimlico/Arlington/Hilltop</t>
  </si>
  <si>
    <t>Poppleton/The Terraces/Hollins Market</t>
  </si>
  <si>
    <t>Sandtown-Winchester/Harlem Park</t>
  </si>
  <si>
    <t>South Baltimore</t>
  </si>
  <si>
    <t>Southeastern</t>
  </si>
  <si>
    <t>Southern Park Heights</t>
  </si>
  <si>
    <t>Southwest Baltimore</t>
  </si>
  <si>
    <t>The Waverlies</t>
  </si>
  <si>
    <t>Upton/Druid Heights</t>
  </si>
  <si>
    <t>Washington Village/Pigtown</t>
  </si>
  <si>
    <t>Westport/Mount Winans/Lakeland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</si>
  <si>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</si>
  <si>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</si>
  <si>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</si>
  <si>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</si>
  <si>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</si>
  <si>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</si>
  <si>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</si>
  <si>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</si>
  <si>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</si>
  <si>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</si>
  <si>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</si>
  <si>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</si>
  <si>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</si>
  <si>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</si>
  <si>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</si>
  <si>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</si>
  <si>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</si>
  <si>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</si>
  <si>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</si>
  <si>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</si>
  <si>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</si>
  <si>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</si>
  <si>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</si>
  <si>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</si>
  <si>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</si>
  <si>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So small, basically no correlation</t>
  </si>
  <si>
    <t>Very small, no correlation</t>
  </si>
  <si>
    <t xml:space="preserve">Stronger than Baltimore city, but still insignificant </t>
  </si>
  <si>
    <t>Sum of Graduation Rate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</si>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</sst>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0" xfId="0" applyFont="1" applyAlignment="1">
      <alignment horizontal="center"/>
    </xf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Balitmore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Combined!$G$2</c:f>
              <c:strCache>
                <c:ptCount val="1"/>
                <c:pt idx="0">
                  <c:v>Cameras per District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7959211473142657E-2"/>
                  <c:y val="-0.775406782813565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Combined!$F$3:$F$57</c:f>
              <c:numCache>
                <c:formatCode>General</c:formatCode>
                <c:ptCount val="55"/>
                <c:pt idx="0">
                  <c:v>72.794117647058826</c:v>
                </c:pt>
                <c:pt idx="1">
                  <c:v>83.333333333333343</c:v>
                </c:pt>
                <c:pt idx="2">
                  <c:v>80.246913580246911</c:v>
                </c:pt>
                <c:pt idx="3">
                  <c:v>68.831168831168839</c:v>
                </c:pt>
                <c:pt idx="4">
                  <c:v>65</c:v>
                </c:pt>
                <c:pt idx="5">
                  <c:v>77.272727272727266</c:v>
                </c:pt>
                <c:pt idx="6">
                  <c:v>62.162162162162161</c:v>
                </c:pt>
                <c:pt idx="7">
                  <c:v>73.239436619718319</c:v>
                </c:pt>
                <c:pt idx="8">
                  <c:v>80.898876404494374</c:v>
                </c:pt>
                <c:pt idx="9">
                  <c:v>79.629629629629633</c:v>
                </c:pt>
                <c:pt idx="10">
                  <c:v>87.5</c:v>
                </c:pt>
                <c:pt idx="11">
                  <c:v>80</c:v>
                </c:pt>
                <c:pt idx="12">
                  <c:v>78.723404255319096</c:v>
                </c:pt>
                <c:pt idx="13">
                  <c:v>77.7777777777777</c:v>
                </c:pt>
                <c:pt idx="14">
                  <c:v>75.581395348837205</c:v>
                </c:pt>
                <c:pt idx="15">
                  <c:v>72.727272727272705</c:v>
                </c:pt>
                <c:pt idx="16">
                  <c:v>80.769230769230703</c:v>
                </c:pt>
                <c:pt idx="17">
                  <c:v>77.7777777777777</c:v>
                </c:pt>
                <c:pt idx="18">
                  <c:v>73.3333333333333</c:v>
                </c:pt>
                <c:pt idx="19">
                  <c:v>82.399999999999906</c:v>
                </c:pt>
                <c:pt idx="20">
                  <c:v>71.717171717171695</c:v>
                </c:pt>
                <c:pt idx="21">
                  <c:v>91.6666666666666</c:v>
                </c:pt>
                <c:pt idx="22">
                  <c:v>78.217821782178206</c:v>
                </c:pt>
                <c:pt idx="23">
                  <c:v>81.3333333333333</c:v>
                </c:pt>
                <c:pt idx="24">
                  <c:v>86.554621848739501</c:v>
                </c:pt>
                <c:pt idx="25">
                  <c:v>71.428571428571402</c:v>
                </c:pt>
                <c:pt idx="26">
                  <c:v>79.661016949152497</c:v>
                </c:pt>
                <c:pt idx="27">
                  <c:v>75</c:v>
                </c:pt>
                <c:pt idx="28">
                  <c:v>83.561643835616394</c:v>
                </c:pt>
                <c:pt idx="29">
                  <c:v>82.352941176470495</c:v>
                </c:pt>
                <c:pt idx="30">
                  <c:v>83.035714285714207</c:v>
                </c:pt>
                <c:pt idx="31">
                  <c:v>77.464788732394297</c:v>
                </c:pt>
                <c:pt idx="32">
                  <c:v>74.576271186440678</c:v>
                </c:pt>
                <c:pt idx="33">
                  <c:v>82.926829268292678</c:v>
                </c:pt>
                <c:pt idx="34">
                  <c:v>68.627450980392155</c:v>
                </c:pt>
                <c:pt idx="35">
                  <c:v>61.764705882352942</c:v>
                </c:pt>
                <c:pt idx="36">
                  <c:v>86.486486486486484</c:v>
                </c:pt>
                <c:pt idx="37">
                  <c:v>93.333333333333329</c:v>
                </c:pt>
                <c:pt idx="38">
                  <c:v>92.307692307692307</c:v>
                </c:pt>
                <c:pt idx="39">
                  <c:v>74.561403508771932</c:v>
                </c:pt>
                <c:pt idx="40">
                  <c:v>68.75</c:v>
                </c:pt>
                <c:pt idx="41">
                  <c:v>76.811594202898547</c:v>
                </c:pt>
                <c:pt idx="42">
                  <c:v>67.5</c:v>
                </c:pt>
                <c:pt idx="43">
                  <c:v>77.41935483870968</c:v>
                </c:pt>
                <c:pt idx="44">
                  <c:v>68.181818181818173</c:v>
                </c:pt>
                <c:pt idx="45">
                  <c:v>50</c:v>
                </c:pt>
                <c:pt idx="46">
                  <c:v>70.329670329670336</c:v>
                </c:pt>
                <c:pt idx="47">
                  <c:v>75</c:v>
                </c:pt>
                <c:pt idx="48">
                  <c:v>75.342465753424662</c:v>
                </c:pt>
                <c:pt idx="49">
                  <c:v>77.142857142857153</c:v>
                </c:pt>
                <c:pt idx="50">
                  <c:v>70.085470085470078</c:v>
                </c:pt>
                <c:pt idx="51">
                  <c:v>78.787878787878782</c:v>
                </c:pt>
                <c:pt idx="52">
                  <c:v>71.604938271604937</c:v>
                </c:pt>
                <c:pt idx="53">
                  <c:v>83.870967741935488</c:v>
                </c:pt>
                <c:pt idx="54">
                  <c:v>73.134328358208961</c:v>
                </c:pt>
              </c:numCache>
            </c:numRef>
          </c:xVal>
          <c:yVal>
            <c:numRef>
              <c:f>Combined!$G$3:$G$57</c:f>
              <c:numCache>
                <c:formatCode>General</c:formatCode>
                <c:ptCount val="55"/>
                <c:pt idx="0">
                  <c:v>2</c:v>
                </c:pt>
                <c:pt idx="1">
                  <c:v>0</c:v>
                </c:pt>
                <c:pt idx="2">
                  <c:v>13</c:v>
                </c:pt>
                <c:pt idx="3">
                  <c:v>18</c:v>
                </c:pt>
                <c:pt idx="4">
                  <c:v>3</c:v>
                </c:pt>
                <c:pt idx="5">
                  <c:v>0</c:v>
                </c:pt>
                <c:pt idx="6">
                  <c:v>59</c:v>
                </c:pt>
                <c:pt idx="7">
                  <c:v>0</c:v>
                </c:pt>
                <c:pt idx="8">
                  <c:v>0</c:v>
                </c:pt>
                <c:pt idx="9">
                  <c:v>18</c:v>
                </c:pt>
                <c:pt idx="10">
                  <c:v>10</c:v>
                </c:pt>
                <c:pt idx="11">
                  <c:v>2</c:v>
                </c:pt>
                <c:pt idx="12">
                  <c:v>7</c:v>
                </c:pt>
                <c:pt idx="13">
                  <c:v>81</c:v>
                </c:pt>
                <c:pt idx="14">
                  <c:v>2</c:v>
                </c:pt>
                <c:pt idx="15">
                  <c:v>20</c:v>
                </c:pt>
                <c:pt idx="16">
                  <c:v>0</c:v>
                </c:pt>
                <c:pt idx="17">
                  <c:v>13</c:v>
                </c:pt>
                <c:pt idx="18">
                  <c:v>35</c:v>
                </c:pt>
                <c:pt idx="19">
                  <c:v>0</c:v>
                </c:pt>
                <c:pt idx="20">
                  <c:v>17</c:v>
                </c:pt>
                <c:pt idx="21">
                  <c:v>0</c:v>
                </c:pt>
                <c:pt idx="22">
                  <c:v>44</c:v>
                </c:pt>
                <c:pt idx="23">
                  <c:v>17</c:v>
                </c:pt>
                <c:pt idx="24">
                  <c:v>1</c:v>
                </c:pt>
                <c:pt idx="25">
                  <c:v>17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50</c:v>
                </c:pt>
                <c:pt idx="30">
                  <c:v>1</c:v>
                </c:pt>
                <c:pt idx="31">
                  <c:v>11</c:v>
                </c:pt>
                <c:pt idx="32">
                  <c:v>27</c:v>
                </c:pt>
                <c:pt idx="33">
                  <c:v>0</c:v>
                </c:pt>
                <c:pt idx="34">
                  <c:v>35</c:v>
                </c:pt>
                <c:pt idx="35">
                  <c:v>17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0</c:v>
                </c:pt>
                <c:pt idx="40">
                  <c:v>43</c:v>
                </c:pt>
                <c:pt idx="41">
                  <c:v>5</c:v>
                </c:pt>
                <c:pt idx="42">
                  <c:v>0</c:v>
                </c:pt>
                <c:pt idx="43">
                  <c:v>9</c:v>
                </c:pt>
                <c:pt idx="44">
                  <c:v>7</c:v>
                </c:pt>
                <c:pt idx="45">
                  <c:v>26</c:v>
                </c:pt>
                <c:pt idx="46">
                  <c:v>59</c:v>
                </c:pt>
                <c:pt idx="47">
                  <c:v>2</c:v>
                </c:pt>
                <c:pt idx="48">
                  <c:v>2</c:v>
                </c:pt>
                <c:pt idx="49">
                  <c:v>17</c:v>
                </c:pt>
                <c:pt idx="50">
                  <c:v>49</c:v>
                </c:pt>
                <c:pt idx="51">
                  <c:v>4</c:v>
                </c:pt>
                <c:pt idx="52">
                  <c:v>59</c:v>
                </c:pt>
                <c:pt idx="53">
                  <c:v>27</c:v>
                </c:pt>
                <c:pt idx="54">
                  <c:v>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D1-4628-8D7E-45CFEAD0B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606624"/>
        <c:axId val="1389617664"/>
      </c:scatterChart>
      <c:valAx>
        <c:axId val="138960662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Graduation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617664"/>
        <c:crosses val="autoZero"/>
        <c:crossBetween val="midCat"/>
      </c:valAx>
      <c:valAx>
        <c:axId val="138961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Cameras</a:t>
                </a:r>
                <a:r>
                  <a:rPr lang="en-US" baseline="0"/>
                  <a:t> in School District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606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Balitmore County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2669334302453149E-2"/>
                  <c:y val="-0.46791373126594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Combined!$J$3:$J$23</c:f>
              <c:numCache>
                <c:formatCode>General</c:formatCode>
                <c:ptCount val="21"/>
                <c:pt idx="0">
                  <c:v>95</c:v>
                </c:pt>
                <c:pt idx="1">
                  <c:v>87.239997863769531</c:v>
                </c:pt>
                <c:pt idx="2">
                  <c:v>76.129997253417969</c:v>
                </c:pt>
                <c:pt idx="3">
                  <c:v>70.410003662109375</c:v>
                </c:pt>
                <c:pt idx="4">
                  <c:v>85.589996337890625</c:v>
                </c:pt>
                <c:pt idx="5">
                  <c:v>89.180000305175781</c:v>
                </c:pt>
                <c:pt idx="6">
                  <c:v>95</c:v>
                </c:pt>
                <c:pt idx="7">
                  <c:v>90.419998168945313</c:v>
                </c:pt>
                <c:pt idx="8">
                  <c:v>95</c:v>
                </c:pt>
                <c:pt idx="9">
                  <c:v>72.80999755859375</c:v>
                </c:pt>
                <c:pt idx="10">
                  <c:v>94.169998168945313</c:v>
                </c:pt>
                <c:pt idx="11">
                  <c:v>78.169998168945313</c:v>
                </c:pt>
                <c:pt idx="12">
                  <c:v>70.069999694824219</c:v>
                </c:pt>
                <c:pt idx="13">
                  <c:v>94.220001220703125</c:v>
                </c:pt>
                <c:pt idx="14">
                  <c:v>79.05999755859375</c:v>
                </c:pt>
                <c:pt idx="15">
                  <c:v>70.069999694824219</c:v>
                </c:pt>
                <c:pt idx="16">
                  <c:v>88.239997863769531</c:v>
                </c:pt>
                <c:pt idx="17">
                  <c:v>92.569999694824219</c:v>
                </c:pt>
                <c:pt idx="18">
                  <c:v>92.269996643066406</c:v>
                </c:pt>
                <c:pt idx="19">
                  <c:v>76.050003051757813</c:v>
                </c:pt>
                <c:pt idx="20">
                  <c:v>78.569999694824219</c:v>
                </c:pt>
              </c:numCache>
            </c:numRef>
          </c:xVal>
          <c:yVal>
            <c:numRef>
              <c:f>Combined!$K$3:$K$23</c:f>
              <c:numCache>
                <c:formatCode>General</c:formatCode>
                <c:ptCount val="21"/>
                <c:pt idx="0">
                  <c:v>10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9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2</c:v>
                </c:pt>
                <c:pt idx="12">
                  <c:v>3</c:v>
                </c:pt>
                <c:pt idx="13">
                  <c:v>7</c:v>
                </c:pt>
                <c:pt idx="14">
                  <c:v>9</c:v>
                </c:pt>
                <c:pt idx="15">
                  <c:v>6</c:v>
                </c:pt>
                <c:pt idx="16">
                  <c:v>4</c:v>
                </c:pt>
                <c:pt idx="17">
                  <c:v>7</c:v>
                </c:pt>
                <c:pt idx="18">
                  <c:v>9</c:v>
                </c:pt>
                <c:pt idx="19">
                  <c:v>7</c:v>
                </c:pt>
                <c:pt idx="2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CD-4974-8ADD-CCDACE91EE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638784"/>
        <c:axId val="1389641184"/>
      </c:scatterChart>
      <c:valAx>
        <c:axId val="1389638784"/>
        <c:scaling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Graduation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641184"/>
        <c:crosses val="autoZero"/>
        <c:crossBetween val="midCat"/>
      </c:valAx>
      <c:valAx>
        <c:axId val="1389641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Cameras in</a:t>
                </a:r>
                <a:r>
                  <a:rPr lang="en-US" baseline="0"/>
                  <a:t> School District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638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074453193350841"/>
                  <c:y val="-0.7680402449693788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Combined!$G$98:$G$106</c:f>
              <c:numCache>
                <c:formatCode>General</c:formatCode>
                <c:ptCount val="9"/>
                <c:pt idx="0">
                  <c:v>91.400001525878906</c:v>
                </c:pt>
                <c:pt idx="1">
                  <c:v>75.680000305175781</c:v>
                </c:pt>
                <c:pt idx="2">
                  <c:v>76.989997863769531</c:v>
                </c:pt>
                <c:pt idx="3">
                  <c:v>80.919998168945313</c:v>
                </c:pt>
                <c:pt idx="4">
                  <c:v>55.770000457763672</c:v>
                </c:pt>
                <c:pt idx="5">
                  <c:v>97.80999755859375</c:v>
                </c:pt>
                <c:pt idx="6">
                  <c:v>82.050003051757813</c:v>
                </c:pt>
                <c:pt idx="7">
                  <c:v>54.169998168945313</c:v>
                </c:pt>
                <c:pt idx="8">
                  <c:v>83.080001831054688</c:v>
                </c:pt>
              </c:numCache>
            </c:numRef>
          </c:xVal>
          <c:yVal>
            <c:numRef>
              <c:f>Combined!$H$98:$H$106</c:f>
              <c:numCache>
                <c:formatCode>General</c:formatCode>
                <c:ptCount val="9"/>
                <c:pt idx="0">
                  <c:v>31</c:v>
                </c:pt>
                <c:pt idx="1">
                  <c:v>35</c:v>
                </c:pt>
                <c:pt idx="2">
                  <c:v>21</c:v>
                </c:pt>
                <c:pt idx="3">
                  <c:v>60</c:v>
                </c:pt>
                <c:pt idx="4">
                  <c:v>26</c:v>
                </c:pt>
                <c:pt idx="5">
                  <c:v>30</c:v>
                </c:pt>
                <c:pt idx="6">
                  <c:v>13</c:v>
                </c:pt>
                <c:pt idx="7">
                  <c:v>174</c:v>
                </c:pt>
                <c:pt idx="8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77-41D5-AAE6-C54EE25CB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2282687"/>
        <c:axId val="1732282207"/>
      </c:scatterChart>
      <c:valAx>
        <c:axId val="1732282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282207"/>
        <c:crosses val="autoZero"/>
        <c:crossBetween val="midCat"/>
      </c:valAx>
      <c:valAx>
        <c:axId val="1732282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282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Combined!$C$2</c:f>
              <c:strCache>
                <c:ptCount val="1"/>
                <c:pt idx="0">
                  <c:v>Cameras per District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0618427483448083E-4"/>
                  <c:y val="-0.820797158719472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Combined!$B$3:$B$12</c:f>
              <c:numCache>
                <c:formatCode>General</c:formatCode>
                <c:ptCount val="10"/>
                <c:pt idx="0">
                  <c:v>91.400001525878906</c:v>
                </c:pt>
                <c:pt idx="1">
                  <c:v>75.680000305175781</c:v>
                </c:pt>
                <c:pt idx="2">
                  <c:v>76.989997863769531</c:v>
                </c:pt>
                <c:pt idx="3">
                  <c:v>80.919998168945313</c:v>
                </c:pt>
                <c:pt idx="4">
                  <c:v>65.169998168945313</c:v>
                </c:pt>
                <c:pt idx="5">
                  <c:v>55.770000457763672</c:v>
                </c:pt>
                <c:pt idx="6">
                  <c:v>97.80999755859375</c:v>
                </c:pt>
                <c:pt idx="7">
                  <c:v>82.050003051757813</c:v>
                </c:pt>
                <c:pt idx="8">
                  <c:v>54.169998168945313</c:v>
                </c:pt>
                <c:pt idx="9">
                  <c:v>83.080001831054688</c:v>
                </c:pt>
              </c:numCache>
            </c:numRef>
          </c:xVal>
          <c:yVal>
            <c:numRef>
              <c:f>Combined!$C$3:$C$12</c:f>
              <c:numCache>
                <c:formatCode>General</c:formatCode>
                <c:ptCount val="10"/>
                <c:pt idx="0">
                  <c:v>31</c:v>
                </c:pt>
                <c:pt idx="1">
                  <c:v>35</c:v>
                </c:pt>
                <c:pt idx="2">
                  <c:v>21</c:v>
                </c:pt>
                <c:pt idx="3">
                  <c:v>60</c:v>
                </c:pt>
                <c:pt idx="4">
                  <c:v>389</c:v>
                </c:pt>
                <c:pt idx="5">
                  <c:v>26</c:v>
                </c:pt>
                <c:pt idx="6">
                  <c:v>30</c:v>
                </c:pt>
                <c:pt idx="7">
                  <c:v>13</c:v>
                </c:pt>
                <c:pt idx="8">
                  <c:v>174</c:v>
                </c:pt>
                <c:pt idx="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AE-4122-AC85-8B46F2ECF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5901040"/>
        <c:axId val="1155902000"/>
      </c:scatterChart>
      <c:valAx>
        <c:axId val="1155901040"/>
        <c:scaling>
          <c:orientation val="minMax"/>
          <c:max val="10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Graduation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902000"/>
        <c:crosses val="autoZero"/>
        <c:crossBetween val="midCat"/>
      </c:valAx>
      <c:valAx>
        <c:axId val="1155902000"/>
        <c:scaling>
          <c:orientation val="minMax"/>
          <c:max val="4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Cameras in  Attendence Zine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5901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7300905817849388E-2"/>
                  <c:y val="-0.53930448832231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Combined!$C$97:$C$104</c:f>
              <c:numCache>
                <c:formatCode>General</c:formatCode>
                <c:ptCount val="8"/>
                <c:pt idx="0">
                  <c:v>91.400001525878906</c:v>
                </c:pt>
                <c:pt idx="1">
                  <c:v>75.680000305175781</c:v>
                </c:pt>
                <c:pt idx="2">
                  <c:v>76.989997863769531</c:v>
                </c:pt>
                <c:pt idx="3">
                  <c:v>80.919998168945313</c:v>
                </c:pt>
                <c:pt idx="4">
                  <c:v>55.770000457763672</c:v>
                </c:pt>
                <c:pt idx="5">
                  <c:v>97.80999755859375</c:v>
                </c:pt>
                <c:pt idx="6">
                  <c:v>82.050003051757813</c:v>
                </c:pt>
                <c:pt idx="7">
                  <c:v>83.080001831054688</c:v>
                </c:pt>
              </c:numCache>
            </c:numRef>
          </c:xVal>
          <c:yVal>
            <c:numRef>
              <c:f>Combined!$D$97:$D$104</c:f>
              <c:numCache>
                <c:formatCode>General</c:formatCode>
                <c:ptCount val="8"/>
                <c:pt idx="0">
                  <c:v>31</c:v>
                </c:pt>
                <c:pt idx="1">
                  <c:v>35</c:v>
                </c:pt>
                <c:pt idx="2">
                  <c:v>21</c:v>
                </c:pt>
                <c:pt idx="3">
                  <c:v>60</c:v>
                </c:pt>
                <c:pt idx="4">
                  <c:v>26</c:v>
                </c:pt>
                <c:pt idx="5">
                  <c:v>30</c:v>
                </c:pt>
                <c:pt idx="6">
                  <c:v>13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2-4C67-A8AD-7784A0A6F8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852527"/>
        <c:axId val="1679850127"/>
      </c:scatterChart>
      <c:valAx>
        <c:axId val="1679852527"/>
        <c:scaling>
          <c:orientation val="minMax"/>
          <c:max val="100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Graduation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50127"/>
        <c:crosses val="autoZero"/>
        <c:crossBetween val="midCat"/>
      </c:valAx>
      <c:valAx>
        <c:axId val="1679850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Cameras in Attendence</a:t>
                </a:r>
                <a:r>
                  <a:rPr lang="en-US" baseline="0"/>
                  <a:t> Zone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852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739588</xdr:colOff>
      <xdr:row>29</xdr:row>
      <xdr:rowOff>33617</xdr:rowOff>
    </xdr:from>
    <xdr:to>
      <xdr:col>19</xdr:col>
      <xdr:colOff>168089</xdr:colOff>
      <xdr:row>62</xdr:row>
      <xdr:rowOff>67234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815D978-613C-3C3A-45E8-0CBD8034E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145676</xdr:colOff>
      <xdr:row>29</xdr:row>
      <xdr:rowOff>123265</xdr:rowOff>
    </xdr:from>
    <xdr:to>
      <xdr:col>22</xdr:col>
      <xdr:colOff>392205</xdr:colOff>
      <xdr:row>62</xdr:row>
      <xdr:rowOff>145677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F0081A-B13D-EF63-7A05-5A2BC3EBB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2413746</xdr:colOff>
      <xdr:row>79</xdr:row>
      <xdr:rowOff>122517</xdr:rowOff>
    </xdr:from>
    <xdr:to>
      <xdr:col>9</xdr:col>
      <xdr:colOff>136338</xdr:colOff>
      <xdr:row>94</xdr:row>
      <xdr:rowOff>8217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9AF5EB-6012-8249-1E72-303D915220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22410</xdr:colOff>
      <xdr:row>34</xdr:row>
      <xdr:rowOff>59952</xdr:rowOff>
    </xdr:from>
    <xdr:to>
      <xdr:col>26</xdr:col>
      <xdr:colOff>358587</xdr:colOff>
      <xdr:row>67</xdr:row>
      <xdr:rowOff>78441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7F4AC1-466E-5F5C-B5ED-5EF58B383F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1322294</xdr:colOff>
      <xdr:row>37</xdr:row>
      <xdr:rowOff>44826</xdr:rowOff>
    </xdr:from>
    <xdr:to>
      <xdr:col>33</xdr:col>
      <xdr:colOff>358589</xdr:colOff>
      <xdr:row>70</xdr:row>
      <xdr:rowOff>78442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FC7200E-DBC0-3F75-6A6F-DC168F8D81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oah Carey" refreshedDate="46144.648448263892" createdVersion="8" refreshedVersion="8" minRefreshableVersion="3" recordCount="10" xr:uid="{3F0F6D62-7BD6-4101-9075-C482A32E72AA}">
  <cacheSource type="worksheet">
    <worksheetSource ref="B2:C12" sheet="Combined"/>
  </cacheSource>
  <cacheFields count="2">
    <cacheField name="Graduation Rate" numFmtId="0">
      <sharedItems containsSemiMixedTypes="0" containsString="0" containsNumber="1" minValue="54.169998168945313" maxValue="97.80999755859375" count="10">
        <n v="91.400001525878906"/>
        <n v="75.680000305175781"/>
        <n v="76.989997863769531"/>
        <n v="80.919998168945313"/>
        <n v="65.169998168945313"/>
        <n v="55.770000457763672"/>
        <n v="97.80999755859375"/>
        <n v="82.050003051757813"/>
        <n v="54.169998168945313"/>
        <n v="83.080001831054688"/>
      </sharedItems>
    </cacheField>
    <cacheField name="Cameras per District" numFmtId="0">
      <sharedItems containsSemiMixedTypes="0" containsString="0" containsNumber="1" containsInteger="1" minValue="8" maxValue="389" count="10">
        <n v="31"/>
        <n v="35"/>
        <n v="21"/>
        <n v="60"/>
        <n v="389"/>
        <n v="26"/>
        <n v="30"/>
        <n v="13"/>
        <n v="174"/>
        <n v="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</r>
  <r>
    <x v="1"/>
    <x v="1"/>
  </r>
  <r>
    <x v="2"/>
    <x v="2"/>
  </r>
  <r>
    <x v="3"/>
    <x v="3"/>
  </r>
  <r>
    <x v="4"/>
    <x v="4"/>
  </r>
  <r>
    <x v="5"/>
    <x v="5"/>
  </r>
  <r>
    <x v="6"/>
    <x v="6"/>
  </r>
  <r>
    <x v="7"/>
    <x v="7"/>
  </r>
  <r>
    <x v="8"/>
    <x v="8"/>
  </r>
  <r>
    <x v="9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A02E6D-F9C4-4818-97CC-FEC2DB4F380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2">
    <pivotField dataField="1" showAll="0">
      <items count="11">
        <item x="8"/>
        <item x="5"/>
        <item x="4"/>
        <item x="1"/>
        <item x="2"/>
        <item x="3"/>
        <item x="7"/>
        <item x="9"/>
        <item x="0"/>
        <item x="6"/>
        <item t="default"/>
      </items>
    </pivotField>
    <pivotField axis="axisRow" showAll="0">
      <items count="11">
        <item x="9"/>
        <item x="7"/>
        <item x="2"/>
        <item x="5"/>
        <item x="6"/>
        <item x="0"/>
        <item x="1"/>
        <item x="3"/>
        <item x="8"/>
        <item x="4"/>
        <item t="default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Graduation Rate" fld="0" baseField="0" baseItem="0"/>
  </dataFields>
  <chartFormats count="1">
    <chartFormat chart="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48866-42F7-4BF8-ABE6-907E33071564}">
  <dimension ref="A3:B14"/>
  <sheetViews>
    <sheetView workbookViewId="0">
      <selection activeCell="A3" sqref="A3"/>
    </sheetView>
  </sheetViews>
  <sheetFormatPr defaultRowHeight="15" x14ac:dyDescent="0.25"/>
  <cols>
    <col min="1" max="1" width="13.42578125" bestFit="1" customWidth="1"/>
    <col min="2" max="2" width="22.7109375" bestFit="1" customWidth="1"/>
    <col min="3" max="11" width="12" bestFit="1" customWidth="1"/>
    <col min="12" max="12" width="11.28515625" bestFit="1" customWidth="1"/>
  </cols>
  <sheetData>
    <row r="3" spans="1:2" x14ac:dyDescent="0.25">
      <c r="A3" s="7" t="s">
        <v>121</v>
      </c>
      <c r="B3" t="s">
        <v>120</v>
      </c>
    </row>
    <row r="4" spans="1:2" x14ac:dyDescent="0.25">
      <c r="A4" s="8">
        <v>8</v>
      </c>
      <c r="B4">
        <v>83.080001831054688</v>
      </c>
    </row>
    <row r="5" spans="1:2" x14ac:dyDescent="0.25">
      <c r="A5" s="8">
        <v>13</v>
      </c>
      <c r="B5">
        <v>82.050003051757813</v>
      </c>
    </row>
    <row r="6" spans="1:2" x14ac:dyDescent="0.25">
      <c r="A6" s="8">
        <v>21</v>
      </c>
      <c r="B6">
        <v>76.989997863769531</v>
      </c>
    </row>
    <row r="7" spans="1:2" x14ac:dyDescent="0.25">
      <c r="A7" s="8">
        <v>26</v>
      </c>
      <c r="B7">
        <v>55.770000457763672</v>
      </c>
    </row>
    <row r="8" spans="1:2" x14ac:dyDescent="0.25">
      <c r="A8" s="8">
        <v>30</v>
      </c>
      <c r="B8">
        <v>97.80999755859375</v>
      </c>
    </row>
    <row r="9" spans="1:2" x14ac:dyDescent="0.25">
      <c r="A9" s="8">
        <v>31</v>
      </c>
      <c r="B9">
        <v>91.400001525878906</v>
      </c>
    </row>
    <row r="10" spans="1:2" x14ac:dyDescent="0.25">
      <c r="A10" s="8">
        <v>35</v>
      </c>
      <c r="B10">
        <v>75.680000305175781</v>
      </c>
    </row>
    <row r="11" spans="1:2" x14ac:dyDescent="0.25">
      <c r="A11" s="8">
        <v>60</v>
      </c>
      <c r="B11">
        <v>80.919998168945313</v>
      </c>
    </row>
    <row r="12" spans="1:2" x14ac:dyDescent="0.25">
      <c r="A12" s="8">
        <v>174</v>
      </c>
      <c r="B12">
        <v>54.169998168945313</v>
      </c>
    </row>
    <row r="13" spans="1:2" x14ac:dyDescent="0.25">
      <c r="A13" s="8">
        <v>389</v>
      </c>
      <c r="B13">
        <v>65.169998168945313</v>
      </c>
    </row>
    <row r="14" spans="1:2" x14ac:dyDescent="0.25">
      <c r="A14" s="8" t="s">
        <v>122</v>
      </c>
      <c r="B14">
        <v>763.03999710083008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DEEE-7FEF-467C-A3BD-29EAE90FFA3A}">
  <dimension ref="A1:K106"/>
  <sheetViews>
    <sheetView tabSelected="1" zoomScale="85" zoomScaleNormal="85" workbookViewId="0">
      <selection activeCell="I3" sqref="I3"/>
    </sheetView>
  </sheetViews>
  <sheetFormatPr defaultRowHeight="15" x14ac:dyDescent="0.25"/>
  <cols>
    <col min="1" max="1" width="13.28515625" bestFit="1" customWidth="1"/>
    <col min="2" max="2" width="15.42578125" bestFit="1" customWidth="1"/>
    <col min="3" max="3" width="22" customWidth="1"/>
    <col min="5" max="5" width="39.28515625" bestFit="1" customWidth="1"/>
    <col min="6" max="6" width="15.42578125" bestFit="1" customWidth="1"/>
    <col min="7" max="7" width="22.42578125" customWidth="1"/>
    <col min="9" max="9" width="19.7109375" bestFit="1" customWidth="1"/>
    <col min="10" max="10" width="15.42578125" bestFit="1" customWidth="1"/>
    <col min="11" max="11" width="22" customWidth="1"/>
  </cols>
  <sheetData>
    <row r="1" spans="1:11" x14ac:dyDescent="0.25">
      <c r="A1" s="9" t="s">
        <v>0</v>
      </c>
      <c r="B1" s="9"/>
      <c r="C1" s="9"/>
      <c r="E1" s="9" t="s">
        <v>4</v>
      </c>
      <c r="F1" s="9"/>
      <c r="G1" s="9"/>
      <c r="I1" s="9" t="s">
        <v>5</v>
      </c>
      <c r="J1" s="9"/>
      <c r="K1" s="9"/>
    </row>
    <row r="2" spans="1:11" x14ac:dyDescent="0.25">
      <c r="A2" t="s">
        <v>1</v>
      </c>
      <c r="B2" t="s">
        <v>2</v>
      </c>
      <c r="C2" t="s">
        <v>3</v>
      </c>
      <c r="E2" t="s">
        <v>1</v>
      </c>
      <c r="F2" t="s">
        <v>2</v>
      </c>
      <c r="G2" t="s">
        <v>3</v>
      </c>
      <c r="I2" t="s">
        <v>1</v>
      </c>
      <c r="J2" t="s">
        <v>2</v>
      </c>
      <c r="K2" t="s">
        <v>3</v>
      </c>
    </row>
    <row r="3" spans="1:11" x14ac:dyDescent="0.25">
      <c r="A3" t="s">
        <v>6</v>
      </c>
      <c r="B3">
        <v>91.400001525878906</v>
      </c>
      <c r="C3">
        <v>31</v>
      </c>
      <c r="E3" t="s">
        <v>37</v>
      </c>
      <c r="F3">
        <v>72.794117647058826</v>
      </c>
      <c r="G3">
        <v>2</v>
      </c>
      <c r="I3" t="s">
        <v>16</v>
      </c>
      <c r="J3">
        <v>95</v>
      </c>
      <c r="K3">
        <v>10</v>
      </c>
    </row>
    <row r="4" spans="1:11" x14ac:dyDescent="0.25">
      <c r="A4" t="s">
        <v>7</v>
      </c>
      <c r="B4">
        <v>75.680000305175781</v>
      </c>
      <c r="C4">
        <v>35</v>
      </c>
      <c r="E4" t="s">
        <v>38</v>
      </c>
      <c r="F4">
        <v>83.333333333333343</v>
      </c>
      <c r="G4">
        <v>0</v>
      </c>
      <c r="I4" t="s">
        <v>17</v>
      </c>
      <c r="J4">
        <v>87.239997863769531</v>
      </c>
      <c r="K4">
        <v>6</v>
      </c>
    </row>
    <row r="5" spans="1:11" x14ac:dyDescent="0.25">
      <c r="A5" t="s">
        <v>8</v>
      </c>
      <c r="B5">
        <v>76.989997863769531</v>
      </c>
      <c r="C5">
        <v>21</v>
      </c>
      <c r="E5" t="s">
        <v>39</v>
      </c>
      <c r="F5">
        <v>80.246913580246911</v>
      </c>
      <c r="G5">
        <v>13</v>
      </c>
      <c r="I5" t="s">
        <v>18</v>
      </c>
      <c r="J5">
        <v>76.129997253417969</v>
      </c>
      <c r="K5">
        <v>7</v>
      </c>
    </row>
    <row r="6" spans="1:11" x14ac:dyDescent="0.25">
      <c r="A6" t="s">
        <v>9</v>
      </c>
      <c r="B6">
        <v>80.919998168945313</v>
      </c>
      <c r="C6">
        <v>60</v>
      </c>
      <c r="E6" t="s">
        <v>40</v>
      </c>
      <c r="F6">
        <v>68.831168831168839</v>
      </c>
      <c r="G6">
        <v>18</v>
      </c>
      <c r="I6" t="s">
        <v>19</v>
      </c>
      <c r="J6">
        <v>70.410003662109375</v>
      </c>
      <c r="K6">
        <v>8</v>
      </c>
    </row>
    <row r="7" spans="1:11" x14ac:dyDescent="0.25">
      <c r="A7" t="s">
        <v>10</v>
      </c>
      <c r="B7">
        <v>65.169998168945313</v>
      </c>
      <c r="C7">
        <v>389</v>
      </c>
      <c r="E7" t="s">
        <v>41</v>
      </c>
      <c r="F7">
        <v>65</v>
      </c>
      <c r="G7">
        <v>3</v>
      </c>
      <c r="I7" t="s">
        <v>20</v>
      </c>
      <c r="J7">
        <v>85.589996337890625</v>
      </c>
      <c r="K7">
        <v>2</v>
      </c>
    </row>
    <row r="8" spans="1:11" x14ac:dyDescent="0.25">
      <c r="A8" t="s">
        <v>11</v>
      </c>
      <c r="B8">
        <v>55.770000457763672</v>
      </c>
      <c r="C8">
        <v>26</v>
      </c>
      <c r="E8" t="s">
        <v>42</v>
      </c>
      <c r="F8">
        <v>77.272727272727266</v>
      </c>
      <c r="G8">
        <v>0</v>
      </c>
      <c r="I8" t="s">
        <v>21</v>
      </c>
      <c r="J8">
        <v>89.180000305175781</v>
      </c>
      <c r="K8">
        <v>1</v>
      </c>
    </row>
    <row r="9" spans="1:11" x14ac:dyDescent="0.25">
      <c r="A9" t="s">
        <v>12</v>
      </c>
      <c r="B9">
        <v>97.80999755859375</v>
      </c>
      <c r="C9">
        <v>30</v>
      </c>
      <c r="E9" t="s">
        <v>43</v>
      </c>
      <c r="F9">
        <v>62.162162162162161</v>
      </c>
      <c r="G9">
        <v>59</v>
      </c>
      <c r="I9" t="s">
        <v>22</v>
      </c>
      <c r="J9">
        <v>95</v>
      </c>
      <c r="K9">
        <v>1</v>
      </c>
    </row>
    <row r="10" spans="1:11" x14ac:dyDescent="0.25">
      <c r="A10" t="s">
        <v>13</v>
      </c>
      <c r="B10">
        <v>82.050003051757813</v>
      </c>
      <c r="C10">
        <v>13</v>
      </c>
      <c r="E10" t="s">
        <v>44</v>
      </c>
      <c r="F10">
        <v>73.239436619718319</v>
      </c>
      <c r="G10">
        <v>0</v>
      </c>
      <c r="I10" t="s">
        <v>23</v>
      </c>
      <c r="J10">
        <v>90.419998168945313</v>
      </c>
      <c r="K10">
        <v>9</v>
      </c>
    </row>
    <row r="11" spans="1:11" x14ac:dyDescent="0.25">
      <c r="A11" t="s">
        <v>14</v>
      </c>
      <c r="B11">
        <v>54.169998168945313</v>
      </c>
      <c r="C11">
        <v>174</v>
      </c>
      <c r="E11" t="s">
        <v>45</v>
      </c>
      <c r="F11">
        <v>80.898876404494374</v>
      </c>
      <c r="G11">
        <v>0</v>
      </c>
      <c r="I11" t="s">
        <v>24</v>
      </c>
      <c r="J11">
        <v>95</v>
      </c>
      <c r="K11">
        <v>3</v>
      </c>
    </row>
    <row r="12" spans="1:11" x14ac:dyDescent="0.25">
      <c r="A12" t="s">
        <v>15</v>
      </c>
      <c r="B12">
        <v>83.080001831054688</v>
      </c>
      <c r="C12">
        <v>8</v>
      </c>
      <c r="E12" t="s">
        <v>46</v>
      </c>
      <c r="F12">
        <v>79.629629629629633</v>
      </c>
      <c r="G12">
        <v>18</v>
      </c>
      <c r="I12" t="s">
        <v>25</v>
      </c>
      <c r="J12">
        <v>72.80999755859375</v>
      </c>
      <c r="K12">
        <v>3</v>
      </c>
    </row>
    <row r="13" spans="1:11" x14ac:dyDescent="0.25">
      <c r="E13" t="s">
        <v>47</v>
      </c>
      <c r="F13">
        <v>87.5</v>
      </c>
      <c r="G13">
        <v>10</v>
      </c>
      <c r="I13" t="s">
        <v>26</v>
      </c>
      <c r="J13">
        <v>94.169998168945313</v>
      </c>
      <c r="K13">
        <v>5</v>
      </c>
    </row>
    <row r="14" spans="1:11" x14ac:dyDescent="0.25">
      <c r="E14" t="s">
        <v>48</v>
      </c>
      <c r="F14">
        <v>80</v>
      </c>
      <c r="G14">
        <v>2</v>
      </c>
      <c r="I14" t="s">
        <v>27</v>
      </c>
      <c r="J14">
        <v>78.169998168945313</v>
      </c>
      <c r="K14">
        <v>2</v>
      </c>
    </row>
    <row r="15" spans="1:11" x14ac:dyDescent="0.25">
      <c r="E15" t="s">
        <v>49</v>
      </c>
      <c r="F15">
        <v>78.723404255319096</v>
      </c>
      <c r="G15">
        <v>7</v>
      </c>
      <c r="I15" t="s">
        <v>28</v>
      </c>
      <c r="J15">
        <v>70.069999694824219</v>
      </c>
      <c r="K15">
        <v>3</v>
      </c>
    </row>
    <row r="16" spans="1:11" x14ac:dyDescent="0.25">
      <c r="B16" s="4"/>
      <c r="C16" s="4"/>
      <c r="E16" t="s">
        <v>50</v>
      </c>
      <c r="F16">
        <v>77.7777777777777</v>
      </c>
      <c r="G16">
        <v>81</v>
      </c>
      <c r="I16" t="s">
        <v>29</v>
      </c>
      <c r="J16">
        <v>94.220001220703125</v>
      </c>
      <c r="K16">
        <v>7</v>
      </c>
    </row>
    <row r="17" spans="2:11" x14ac:dyDescent="0.25">
      <c r="E17" t="s">
        <v>51</v>
      </c>
      <c r="F17">
        <v>75.581395348837205</v>
      </c>
      <c r="G17">
        <v>2</v>
      </c>
      <c r="I17" t="s">
        <v>30</v>
      </c>
      <c r="J17">
        <v>79.05999755859375</v>
      </c>
      <c r="K17">
        <v>9</v>
      </c>
    </row>
    <row r="18" spans="2:11" x14ac:dyDescent="0.25">
      <c r="E18" t="s">
        <v>52</v>
      </c>
      <c r="F18">
        <v>72.727272727272705</v>
      </c>
      <c r="G18">
        <v>20</v>
      </c>
      <c r="I18" t="s">
        <v>31</v>
      </c>
      <c r="J18">
        <v>70.069999694824219</v>
      </c>
      <c r="K18">
        <v>6</v>
      </c>
    </row>
    <row r="19" spans="2:11" x14ac:dyDescent="0.25">
      <c r="E19" t="s">
        <v>53</v>
      </c>
      <c r="F19">
        <v>80.769230769230703</v>
      </c>
      <c r="G19">
        <v>0</v>
      </c>
      <c r="I19" t="s">
        <v>32</v>
      </c>
      <c r="J19">
        <v>88.239997863769531</v>
      </c>
      <c r="K19">
        <v>4</v>
      </c>
    </row>
    <row r="20" spans="2:11" x14ac:dyDescent="0.25">
      <c r="E20" t="s">
        <v>54</v>
      </c>
      <c r="F20">
        <v>77.7777777777777</v>
      </c>
      <c r="G20">
        <v>13</v>
      </c>
      <c r="I20" t="s">
        <v>33</v>
      </c>
      <c r="J20">
        <v>92.569999694824219</v>
      </c>
      <c r="K20">
        <v>7</v>
      </c>
    </row>
    <row r="21" spans="2:11" x14ac:dyDescent="0.25">
      <c r="E21" t="s">
        <v>55</v>
      </c>
      <c r="F21">
        <v>73.3333333333333</v>
      </c>
      <c r="G21">
        <v>35</v>
      </c>
      <c r="I21" t="s">
        <v>34</v>
      </c>
      <c r="J21">
        <v>92.269996643066406</v>
      </c>
      <c r="K21">
        <v>9</v>
      </c>
    </row>
    <row r="22" spans="2:11" x14ac:dyDescent="0.25">
      <c r="E22" t="s">
        <v>56</v>
      </c>
      <c r="F22">
        <v>82.399999999999906</v>
      </c>
      <c r="G22">
        <v>0</v>
      </c>
      <c r="I22" t="s">
        <v>35</v>
      </c>
      <c r="J22">
        <v>76.050003051757813</v>
      </c>
      <c r="K22">
        <v>7</v>
      </c>
    </row>
    <row r="23" spans="2:11" x14ac:dyDescent="0.25">
      <c r="E23" t="s">
        <v>57</v>
      </c>
      <c r="F23">
        <v>71.717171717171695</v>
      </c>
      <c r="G23">
        <v>17</v>
      </c>
      <c r="I23" t="s">
        <v>36</v>
      </c>
      <c r="J23">
        <v>78.569999694824219</v>
      </c>
      <c r="K23">
        <v>8</v>
      </c>
    </row>
    <row r="24" spans="2:11" x14ac:dyDescent="0.25">
      <c r="B24" s="5"/>
      <c r="C24" s="5"/>
      <c r="D24" s="5"/>
      <c r="E24" t="s">
        <v>58</v>
      </c>
      <c r="F24">
        <v>91.6666666666666</v>
      </c>
      <c r="G24">
        <v>0</v>
      </c>
    </row>
    <row r="25" spans="2:11" x14ac:dyDescent="0.25">
      <c r="E25" t="s">
        <v>59</v>
      </c>
      <c r="F25">
        <v>78.217821782178206</v>
      </c>
      <c r="G25">
        <v>44</v>
      </c>
    </row>
    <row r="26" spans="2:11" x14ac:dyDescent="0.25">
      <c r="E26" t="s">
        <v>60</v>
      </c>
      <c r="F26">
        <v>81.3333333333333</v>
      </c>
      <c r="G26">
        <v>17</v>
      </c>
    </row>
    <row r="27" spans="2:11" x14ac:dyDescent="0.25">
      <c r="E27" t="s">
        <v>61</v>
      </c>
      <c r="F27">
        <v>86.554621848739501</v>
      </c>
      <c r="G27">
        <v>1</v>
      </c>
    </row>
    <row r="28" spans="2:11" x14ac:dyDescent="0.25">
      <c r="E28" t="s">
        <v>62</v>
      </c>
      <c r="F28">
        <v>71.428571428571402</v>
      </c>
      <c r="G28">
        <v>17</v>
      </c>
    </row>
    <row r="29" spans="2:11" x14ac:dyDescent="0.25">
      <c r="E29" t="s">
        <v>63</v>
      </c>
      <c r="F29">
        <v>79.661016949152497</v>
      </c>
      <c r="G29">
        <v>0</v>
      </c>
    </row>
    <row r="30" spans="2:11" x14ac:dyDescent="0.25">
      <c r="E30" t="s">
        <v>64</v>
      </c>
      <c r="F30">
        <v>75</v>
      </c>
      <c r="G30">
        <v>1</v>
      </c>
    </row>
    <row r="31" spans="2:11" x14ac:dyDescent="0.25">
      <c r="E31" t="s">
        <v>65</v>
      </c>
      <c r="F31">
        <v>83.561643835616394</v>
      </c>
      <c r="G31">
        <v>1</v>
      </c>
    </row>
    <row r="32" spans="2:11" x14ac:dyDescent="0.25">
      <c r="E32" t="s">
        <v>66</v>
      </c>
      <c r="F32">
        <v>82.352941176470495</v>
      </c>
      <c r="G32">
        <v>50</v>
      </c>
    </row>
    <row r="33" spans="5:7" x14ac:dyDescent="0.25">
      <c r="E33" t="s">
        <v>67</v>
      </c>
      <c r="F33">
        <v>83.035714285714207</v>
      </c>
      <c r="G33">
        <v>1</v>
      </c>
    </row>
    <row r="34" spans="5:7" x14ac:dyDescent="0.25">
      <c r="E34" t="s">
        <v>68</v>
      </c>
      <c r="F34">
        <v>77.464788732394297</v>
      </c>
      <c r="G34">
        <v>11</v>
      </c>
    </row>
    <row r="35" spans="5:7" x14ac:dyDescent="0.25">
      <c r="E35" t="s">
        <v>69</v>
      </c>
      <c r="F35">
        <v>74.576271186440678</v>
      </c>
      <c r="G35">
        <v>27</v>
      </c>
    </row>
    <row r="36" spans="5:7" x14ac:dyDescent="0.25">
      <c r="E36" t="s">
        <v>70</v>
      </c>
      <c r="F36">
        <v>82.926829268292678</v>
      </c>
      <c r="G36">
        <v>0</v>
      </c>
    </row>
    <row r="37" spans="5:7" x14ac:dyDescent="0.25">
      <c r="E37" t="s">
        <v>71</v>
      </c>
      <c r="F37">
        <v>68.627450980392155</v>
      </c>
      <c r="G37">
        <v>35</v>
      </c>
    </row>
    <row r="38" spans="5:7" x14ac:dyDescent="0.25">
      <c r="E38" t="s">
        <v>72</v>
      </c>
      <c r="F38">
        <v>61.764705882352942</v>
      </c>
      <c r="G38">
        <v>17</v>
      </c>
    </row>
    <row r="39" spans="5:7" x14ac:dyDescent="0.25">
      <c r="E39" t="s">
        <v>73</v>
      </c>
      <c r="F39">
        <v>86.486486486486484</v>
      </c>
      <c r="G39">
        <v>0</v>
      </c>
    </row>
    <row r="40" spans="5:7" x14ac:dyDescent="0.25">
      <c r="E40" t="s">
        <v>74</v>
      </c>
      <c r="F40">
        <v>93.333333333333329</v>
      </c>
      <c r="G40">
        <v>0</v>
      </c>
    </row>
    <row r="41" spans="5:7" x14ac:dyDescent="0.25">
      <c r="E41" t="s">
        <v>75</v>
      </c>
      <c r="F41">
        <v>92.307692307692307</v>
      </c>
      <c r="G41">
        <v>1</v>
      </c>
    </row>
    <row r="42" spans="5:7" x14ac:dyDescent="0.25">
      <c r="E42" t="s">
        <v>76</v>
      </c>
      <c r="F42">
        <v>74.561403508771932</v>
      </c>
      <c r="G42">
        <v>0</v>
      </c>
    </row>
    <row r="43" spans="5:7" x14ac:dyDescent="0.25">
      <c r="E43" t="s">
        <v>77</v>
      </c>
      <c r="F43">
        <v>68.75</v>
      </c>
      <c r="G43">
        <v>43</v>
      </c>
    </row>
    <row r="44" spans="5:7" x14ac:dyDescent="0.25">
      <c r="E44" t="s">
        <v>78</v>
      </c>
      <c r="F44">
        <v>76.811594202898547</v>
      </c>
      <c r="G44">
        <v>5</v>
      </c>
    </row>
    <row r="45" spans="5:7" x14ac:dyDescent="0.25">
      <c r="E45" t="s">
        <v>79</v>
      </c>
      <c r="F45">
        <v>67.5</v>
      </c>
      <c r="G45">
        <v>0</v>
      </c>
    </row>
    <row r="46" spans="5:7" x14ac:dyDescent="0.25">
      <c r="E46" t="s">
        <v>80</v>
      </c>
      <c r="F46">
        <v>77.41935483870968</v>
      </c>
      <c r="G46">
        <v>9</v>
      </c>
    </row>
    <row r="47" spans="5:7" x14ac:dyDescent="0.25">
      <c r="E47" t="s">
        <v>81</v>
      </c>
      <c r="F47">
        <v>68.181818181818173</v>
      </c>
      <c r="G47">
        <v>7</v>
      </c>
    </row>
    <row r="48" spans="5:7" x14ac:dyDescent="0.25">
      <c r="E48" t="s">
        <v>82</v>
      </c>
      <c r="F48">
        <v>50</v>
      </c>
      <c r="G48">
        <v>26</v>
      </c>
    </row>
    <row r="49" spans="5:7" x14ac:dyDescent="0.25">
      <c r="E49" t="s">
        <v>83</v>
      </c>
      <c r="F49">
        <v>70.329670329670336</v>
      </c>
      <c r="G49">
        <v>59</v>
      </c>
    </row>
    <row r="50" spans="5:7" x14ac:dyDescent="0.25">
      <c r="E50" t="s">
        <v>84</v>
      </c>
      <c r="F50">
        <v>75</v>
      </c>
      <c r="G50">
        <v>2</v>
      </c>
    </row>
    <row r="51" spans="5:7" x14ac:dyDescent="0.25">
      <c r="E51" t="s">
        <v>85</v>
      </c>
      <c r="F51">
        <v>75.342465753424662</v>
      </c>
      <c r="G51">
        <v>2</v>
      </c>
    </row>
    <row r="52" spans="5:7" x14ac:dyDescent="0.25">
      <c r="E52" t="s">
        <v>86</v>
      </c>
      <c r="F52">
        <v>77.142857142857153</v>
      </c>
      <c r="G52">
        <v>17</v>
      </c>
    </row>
    <row r="53" spans="5:7" x14ac:dyDescent="0.25">
      <c r="E53" t="s">
        <v>87</v>
      </c>
      <c r="F53">
        <v>70.085470085470078</v>
      </c>
      <c r="G53">
        <v>49</v>
      </c>
    </row>
    <row r="54" spans="5:7" x14ac:dyDescent="0.25">
      <c r="E54" t="s">
        <v>88</v>
      </c>
      <c r="F54">
        <v>78.787878787878782</v>
      </c>
      <c r="G54">
        <v>4</v>
      </c>
    </row>
    <row r="55" spans="5:7" x14ac:dyDescent="0.25">
      <c r="E55" t="s">
        <v>89</v>
      </c>
      <c r="F55">
        <v>71.604938271604937</v>
      </c>
      <c r="G55">
        <v>59</v>
      </c>
    </row>
    <row r="56" spans="5:7" x14ac:dyDescent="0.25">
      <c r="E56" t="s">
        <v>90</v>
      </c>
      <c r="F56">
        <v>83.870967741935488</v>
      </c>
      <c r="G56">
        <v>27</v>
      </c>
    </row>
    <row r="57" spans="5:7" x14ac:dyDescent="0.25">
      <c r="E57" t="s">
        <v>91</v>
      </c>
      <c r="F57">
        <v>73.134328358208961</v>
      </c>
      <c r="G57">
        <v>29</v>
      </c>
    </row>
    <row r="96" spans="2:4" x14ac:dyDescent="0.25">
      <c r="B96" t="s">
        <v>1</v>
      </c>
      <c r="C96" t="s">
        <v>2</v>
      </c>
      <c r="D96" t="s">
        <v>3</v>
      </c>
    </row>
    <row r="97" spans="2:8" x14ac:dyDescent="0.25">
      <c r="B97" t="s">
        <v>6</v>
      </c>
      <c r="C97">
        <v>91.400001525878906</v>
      </c>
      <c r="D97">
        <v>31</v>
      </c>
      <c r="F97" t="s">
        <v>1</v>
      </c>
      <c r="G97" t="s">
        <v>2</v>
      </c>
      <c r="H97" t="s">
        <v>3</v>
      </c>
    </row>
    <row r="98" spans="2:8" x14ac:dyDescent="0.25">
      <c r="B98" t="s">
        <v>7</v>
      </c>
      <c r="C98">
        <v>75.680000305175781</v>
      </c>
      <c r="D98">
        <v>35</v>
      </c>
      <c r="F98" t="s">
        <v>6</v>
      </c>
      <c r="G98">
        <v>91.400001525878906</v>
      </c>
      <c r="H98">
        <v>31</v>
      </c>
    </row>
    <row r="99" spans="2:8" x14ac:dyDescent="0.25">
      <c r="B99" t="s">
        <v>8</v>
      </c>
      <c r="C99">
        <v>76.989997863769531</v>
      </c>
      <c r="D99">
        <v>21</v>
      </c>
      <c r="F99" t="s">
        <v>7</v>
      </c>
      <c r="G99">
        <v>75.680000305175781</v>
      </c>
      <c r="H99">
        <v>35</v>
      </c>
    </row>
    <row r="100" spans="2:8" x14ac:dyDescent="0.25">
      <c r="B100" t="s">
        <v>9</v>
      </c>
      <c r="C100">
        <v>80.919998168945313</v>
      </c>
      <c r="D100">
        <v>60</v>
      </c>
      <c r="F100" t="s">
        <v>8</v>
      </c>
      <c r="G100">
        <v>76.989997863769531</v>
      </c>
      <c r="H100">
        <v>21</v>
      </c>
    </row>
    <row r="101" spans="2:8" x14ac:dyDescent="0.25">
      <c r="B101" t="s">
        <v>11</v>
      </c>
      <c r="C101">
        <v>55.770000457763672</v>
      </c>
      <c r="D101">
        <v>26</v>
      </c>
      <c r="F101" t="s">
        <v>9</v>
      </c>
      <c r="G101">
        <v>80.919998168945313</v>
      </c>
      <c r="H101">
        <v>60</v>
      </c>
    </row>
    <row r="102" spans="2:8" x14ac:dyDescent="0.25">
      <c r="B102" t="s">
        <v>12</v>
      </c>
      <c r="C102">
        <v>97.80999755859375</v>
      </c>
      <c r="D102">
        <v>30</v>
      </c>
      <c r="F102" t="s">
        <v>11</v>
      </c>
      <c r="G102">
        <v>55.770000457763672</v>
      </c>
      <c r="H102">
        <v>26</v>
      </c>
    </row>
    <row r="103" spans="2:8" x14ac:dyDescent="0.25">
      <c r="B103" t="s">
        <v>13</v>
      </c>
      <c r="C103">
        <v>82.050003051757813</v>
      </c>
      <c r="D103">
        <v>13</v>
      </c>
      <c r="F103" t="s">
        <v>12</v>
      </c>
      <c r="G103">
        <v>97.80999755859375</v>
      </c>
      <c r="H103">
        <v>30</v>
      </c>
    </row>
    <row r="104" spans="2:8" x14ac:dyDescent="0.25">
      <c r="B104" t="s">
        <v>15</v>
      </c>
      <c r="C104">
        <v>83.080001831054688</v>
      </c>
      <c r="D104">
        <v>8</v>
      </c>
      <c r="F104" t="s">
        <v>13</v>
      </c>
      <c r="G104">
        <v>82.050003051757813</v>
      </c>
      <c r="H104">
        <v>13</v>
      </c>
    </row>
    <row r="105" spans="2:8" x14ac:dyDescent="0.25">
      <c r="F105" t="s">
        <v>14</v>
      </c>
      <c r="G105">
        <v>54.169998168945313</v>
      </c>
      <c r="H105">
        <v>174</v>
      </c>
    </row>
    <row r="106" spans="2:8" x14ac:dyDescent="0.25">
      <c r="F106" t="s">
        <v>15</v>
      </c>
      <c r="G106">
        <v>83.080001831054688</v>
      </c>
      <c r="H106">
        <v>8</v>
      </c>
    </row>
  </sheetData>
  <mergeCells count="3">
    <mergeCell ref="A1:C1"/>
    <mergeCell ref="E1:G1"/>
    <mergeCell ref="I1:K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2122-0DC9-47B9-BFC5-9E9C216AD19F}">
  <dimension ref="A1:I18"/>
  <sheetViews>
    <sheetView workbookViewId="0">
      <selection activeCell="E6" sqref="E6"/>
    </sheetView>
  </sheetViews>
  <sheetFormatPr defaultRowHeight="15" x14ac:dyDescent="0.25"/>
  <cols>
    <col min="1" max="1" width="17.5703125" bestFit="1" customWidth="1"/>
    <col min="2" max="2" width="12.7109375" bestFit="1" customWidth="1"/>
    <col min="6" max="6" width="13.7109375" bestFit="1" customWidth="1"/>
  </cols>
  <sheetData>
    <row r="1" spans="1:9" x14ac:dyDescent="0.25">
      <c r="A1" t="s">
        <v>92</v>
      </c>
    </row>
    <row r="2" spans="1:9" ht="15.75" thickBot="1" x14ac:dyDescent="0.3"/>
    <row r="3" spans="1:9" x14ac:dyDescent="0.25">
      <c r="A3" s="3" t="s">
        <v>93</v>
      </c>
      <c r="B3" s="3"/>
    </row>
    <row r="4" spans="1:9" x14ac:dyDescent="0.25">
      <c r="A4" t="s">
        <v>94</v>
      </c>
      <c r="B4">
        <v>0.47169113829413506</v>
      </c>
    </row>
    <row r="5" spans="1:9" x14ac:dyDescent="0.25">
      <c r="A5" t="s">
        <v>95</v>
      </c>
      <c r="B5">
        <v>0.22249252994521684</v>
      </c>
      <c r="E5" t="s">
        <v>119</v>
      </c>
    </row>
    <row r="6" spans="1:9" x14ac:dyDescent="0.25">
      <c r="A6" t="s">
        <v>96</v>
      </c>
      <c r="B6">
        <v>0.12530409618836896</v>
      </c>
    </row>
    <row r="7" spans="1:9" x14ac:dyDescent="0.25">
      <c r="A7" t="s">
        <v>97</v>
      </c>
      <c r="B7">
        <v>13.325361651598438</v>
      </c>
    </row>
    <row r="8" spans="1:9" ht="15.75" thickBot="1" x14ac:dyDescent="0.3">
      <c r="A8" s="1" t="s">
        <v>98</v>
      </c>
      <c r="B8" s="1">
        <v>10</v>
      </c>
    </row>
    <row r="10" spans="1:9" ht="15.75" thickBot="1" x14ac:dyDescent="0.3">
      <c r="A10" t="s">
        <v>99</v>
      </c>
    </row>
    <row r="11" spans="1:9" x14ac:dyDescent="0.25">
      <c r="A11" s="2"/>
      <c r="B11" s="2" t="s">
        <v>104</v>
      </c>
      <c r="C11" s="2" t="s">
        <v>105</v>
      </c>
      <c r="D11" s="2" t="s">
        <v>106</v>
      </c>
      <c r="E11" s="2" t="s">
        <v>107</v>
      </c>
      <c r="F11" s="2" t="s">
        <v>108</v>
      </c>
    </row>
    <row r="12" spans="1:9" x14ac:dyDescent="0.25">
      <c r="A12" t="s">
        <v>100</v>
      </c>
      <c r="B12">
        <v>1</v>
      </c>
      <c r="C12">
        <v>406.49841859328899</v>
      </c>
      <c r="D12">
        <v>406.49841859328899</v>
      </c>
      <c r="E12">
        <v>2.2892902102102251</v>
      </c>
      <c r="F12">
        <v>0.1687253599135653</v>
      </c>
    </row>
    <row r="13" spans="1:9" x14ac:dyDescent="0.25">
      <c r="A13" t="s">
        <v>101</v>
      </c>
      <c r="B13">
        <v>8</v>
      </c>
      <c r="C13">
        <v>1420.5221051671219</v>
      </c>
      <c r="D13">
        <v>177.56526314589024</v>
      </c>
    </row>
    <row r="14" spans="1:9" ht="15.75" thickBot="1" x14ac:dyDescent="0.3">
      <c r="A14" s="1" t="s">
        <v>102</v>
      </c>
      <c r="B14" s="1">
        <v>9</v>
      </c>
      <c r="C14" s="1">
        <v>1827.0205237604109</v>
      </c>
      <c r="D14" s="1"/>
      <c r="E14" s="1"/>
      <c r="F14" s="1"/>
    </row>
    <row r="15" spans="1:9" ht="15.75" thickBot="1" x14ac:dyDescent="0.3"/>
    <row r="16" spans="1:9" x14ac:dyDescent="0.25">
      <c r="A16" s="2"/>
      <c r="B16" s="2" t="s">
        <v>109</v>
      </c>
      <c r="C16" s="2" t="s">
        <v>97</v>
      </c>
      <c r="D16" s="2" t="s">
        <v>110</v>
      </c>
      <c r="E16" s="2" t="s">
        <v>111</v>
      </c>
      <c r="F16" s="2" t="s">
        <v>112</v>
      </c>
      <c r="G16" s="2" t="s">
        <v>113</v>
      </c>
      <c r="H16" s="2" t="s">
        <v>114</v>
      </c>
      <c r="I16" s="2" t="s">
        <v>115</v>
      </c>
    </row>
    <row r="17" spans="1:9" x14ac:dyDescent="0.25">
      <c r="A17" t="s">
        <v>103</v>
      </c>
      <c r="B17">
        <v>80.744330714239652</v>
      </c>
      <c r="C17">
        <v>5.1350791934625235</v>
      </c>
      <c r="D17">
        <v>15.724067277683929</v>
      </c>
      <c r="E17">
        <v>2.6723839793510909E-7</v>
      </c>
      <c r="F17">
        <v>68.902816859514189</v>
      </c>
      <c r="G17">
        <v>92.585844568965115</v>
      </c>
      <c r="H17">
        <v>68.902816859514189</v>
      </c>
      <c r="I17">
        <v>92.585844568965115</v>
      </c>
    </row>
    <row r="18" spans="1:9" ht="15.75" thickBot="1" x14ac:dyDescent="0.3">
      <c r="A18" s="1" t="s">
        <v>116</v>
      </c>
      <c r="B18" s="1">
        <v>-5.6420978451799872E-2</v>
      </c>
      <c r="C18" s="1">
        <v>3.7289811488161573E-2</v>
      </c>
      <c r="D18" s="1">
        <v>-1.5130400557190236</v>
      </c>
      <c r="E18" s="1">
        <v>0.16872535991356535</v>
      </c>
      <c r="F18" s="1">
        <v>-0.1424114379444843</v>
      </c>
      <c r="G18" s="1">
        <v>2.9569481040884568E-2</v>
      </c>
      <c r="H18" s="1">
        <v>-0.1424114379444843</v>
      </c>
      <c r="I18" s="1">
        <v>2.9569481040884568E-2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1978-41AF-4FE0-B9EF-51424CE8E2B2}">
  <dimension ref="A1:I18"/>
  <sheetViews>
    <sheetView workbookViewId="0">
      <selection activeCell="B5" sqref="B5"/>
    </sheetView>
  </sheetViews>
  <sheetFormatPr defaultRowHeight="15" x14ac:dyDescent="0.25"/>
  <cols>
    <col min="1" max="1" width="17.5703125" bestFit="1" customWidth="1"/>
    <col min="2" max="2" width="12.7109375" bestFit="1" customWidth="1"/>
  </cols>
  <sheetData>
    <row r="1" spans="1:9" x14ac:dyDescent="0.25">
      <c r="A1" t="s">
        <v>92</v>
      </c>
    </row>
    <row r="2" spans="1:9" ht="15.75" thickBot="1" x14ac:dyDescent="0.3"/>
    <row r="3" spans="1:9" x14ac:dyDescent="0.25">
      <c r="A3" s="3" t="s">
        <v>93</v>
      </c>
      <c r="B3" s="3"/>
    </row>
    <row r="4" spans="1:9" x14ac:dyDescent="0.25">
      <c r="A4" t="s">
        <v>94</v>
      </c>
      <c r="B4">
        <v>0.36790318445530962</v>
      </c>
    </row>
    <row r="5" spans="1:9" x14ac:dyDescent="0.25">
      <c r="A5" t="s">
        <v>95</v>
      </c>
      <c r="B5">
        <v>0.13535275313235756</v>
      </c>
      <c r="D5" t="s">
        <v>118</v>
      </c>
    </row>
    <row r="6" spans="1:9" x14ac:dyDescent="0.25">
      <c r="A6" t="s">
        <v>96</v>
      </c>
      <c r="B6">
        <v>0.11903865413485487</v>
      </c>
    </row>
    <row r="7" spans="1:9" x14ac:dyDescent="0.25">
      <c r="A7" t="s">
        <v>97</v>
      </c>
      <c r="B7">
        <v>7.3698580481789051</v>
      </c>
    </row>
    <row r="8" spans="1:9" ht="15.75" thickBot="1" x14ac:dyDescent="0.3">
      <c r="A8" s="1" t="s">
        <v>98</v>
      </c>
      <c r="B8" s="1">
        <v>55</v>
      </c>
    </row>
    <row r="10" spans="1:9" ht="15.75" thickBot="1" x14ac:dyDescent="0.3">
      <c r="A10" t="s">
        <v>99</v>
      </c>
    </row>
    <row r="11" spans="1:9" x14ac:dyDescent="0.25">
      <c r="A11" s="2"/>
      <c r="B11" s="2" t="s">
        <v>104</v>
      </c>
      <c r="C11" s="2" t="s">
        <v>105</v>
      </c>
      <c r="D11" s="2" t="s">
        <v>106</v>
      </c>
      <c r="E11" s="2" t="s">
        <v>107</v>
      </c>
      <c r="F11" s="2" t="s">
        <v>108</v>
      </c>
    </row>
    <row r="12" spans="1:9" x14ac:dyDescent="0.25">
      <c r="A12" t="s">
        <v>100</v>
      </c>
      <c r="B12">
        <v>1</v>
      </c>
      <c r="C12">
        <v>450.63222630001883</v>
      </c>
      <c r="D12">
        <v>450.63222630001883</v>
      </c>
      <c r="E12">
        <v>8.2966735185974372</v>
      </c>
      <c r="F12">
        <v>5.7198978002161666E-3</v>
      </c>
    </row>
    <row r="13" spans="1:9" x14ac:dyDescent="0.25">
      <c r="A13" t="s">
        <v>101</v>
      </c>
      <c r="B13">
        <v>53</v>
      </c>
      <c r="C13">
        <v>2878.6848054662914</v>
      </c>
      <c r="D13">
        <v>54.314807650307387</v>
      </c>
    </row>
    <row r="14" spans="1:9" ht="15.75" thickBot="1" x14ac:dyDescent="0.3">
      <c r="A14" s="1" t="s">
        <v>102</v>
      </c>
      <c r="B14" s="1">
        <v>54</v>
      </c>
      <c r="C14" s="1">
        <v>3329.3170317663103</v>
      </c>
      <c r="D14" s="1"/>
      <c r="E14" s="1"/>
      <c r="F14" s="1"/>
    </row>
    <row r="15" spans="1:9" ht="15.75" thickBot="1" x14ac:dyDescent="0.3"/>
    <row r="16" spans="1:9" x14ac:dyDescent="0.25">
      <c r="A16" s="2"/>
      <c r="B16" s="2" t="s">
        <v>109</v>
      </c>
      <c r="C16" s="2" t="s">
        <v>97</v>
      </c>
      <c r="D16" s="2" t="s">
        <v>110</v>
      </c>
      <c r="E16" s="2" t="s">
        <v>111</v>
      </c>
      <c r="F16" s="2" t="s">
        <v>112</v>
      </c>
      <c r="G16" s="2" t="s">
        <v>113</v>
      </c>
      <c r="H16" s="2" t="s">
        <v>114</v>
      </c>
      <c r="I16" s="2" t="s">
        <v>115</v>
      </c>
    </row>
    <row r="17" spans="1:9" x14ac:dyDescent="0.25">
      <c r="A17" t="s">
        <v>103</v>
      </c>
      <c r="B17">
        <v>78.851592491576994</v>
      </c>
      <c r="C17">
        <v>1.2740190373924769</v>
      </c>
      <c r="D17">
        <v>61.8920048894731</v>
      </c>
      <c r="E17">
        <v>4.1606842665597036E-51</v>
      </c>
      <c r="F17">
        <v>76.296233909368311</v>
      </c>
      <c r="G17">
        <v>81.406951073785677</v>
      </c>
      <c r="H17">
        <v>76.296233909368311</v>
      </c>
      <c r="I17">
        <v>81.406951073785677</v>
      </c>
    </row>
    <row r="18" spans="1:9" ht="15.75" thickBot="1" x14ac:dyDescent="0.3">
      <c r="A18" s="1" t="s">
        <v>116</v>
      </c>
      <c r="B18" s="1">
        <v>-0.14668899089709322</v>
      </c>
      <c r="C18" s="1">
        <v>5.0926698296717296E-2</v>
      </c>
      <c r="D18" s="1">
        <v>-2.8803946810458889</v>
      </c>
      <c r="E18" s="1">
        <v>5.7198978002161458E-3</v>
      </c>
      <c r="F18" s="1">
        <v>-0.2488350120604953</v>
      </c>
      <c r="G18" s="1">
        <v>-4.4542969733691137E-2</v>
      </c>
      <c r="H18" s="1">
        <v>-0.2488350120604953</v>
      </c>
      <c r="I18" s="1">
        <v>-4.4542969733691137E-2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24ECE-CF71-47F7-824F-05C051FB8F00}">
  <dimension ref="A1:I18"/>
  <sheetViews>
    <sheetView workbookViewId="0">
      <selection activeCell="B5" sqref="B5"/>
    </sheetView>
  </sheetViews>
  <sheetFormatPr defaultRowHeight="15" x14ac:dyDescent="0.25"/>
  <cols>
    <col min="1" max="1" width="17.5703125" bestFit="1" customWidth="1"/>
    <col min="2" max="2" width="12.7109375" bestFit="1" customWidth="1"/>
    <col min="6" max="6" width="13.7109375" bestFit="1" customWidth="1"/>
  </cols>
  <sheetData>
    <row r="1" spans="1:9" x14ac:dyDescent="0.25">
      <c r="A1" t="s">
        <v>92</v>
      </c>
    </row>
    <row r="2" spans="1:9" ht="15.75" thickBot="1" x14ac:dyDescent="0.3"/>
    <row r="3" spans="1:9" x14ac:dyDescent="0.25">
      <c r="A3" s="3" t="s">
        <v>93</v>
      </c>
      <c r="B3" s="3"/>
    </row>
    <row r="4" spans="1:9" x14ac:dyDescent="0.25">
      <c r="A4" t="s">
        <v>94</v>
      </c>
      <c r="B4">
        <v>1.171065814004859E-3</v>
      </c>
    </row>
    <row r="5" spans="1:9" x14ac:dyDescent="0.25">
      <c r="A5" t="s">
        <v>95</v>
      </c>
      <c r="B5" s="6">
        <v>1.3713951407308599E-6</v>
      </c>
      <c r="E5" t="s">
        <v>117</v>
      </c>
    </row>
    <row r="6" spans="1:9" x14ac:dyDescent="0.25">
      <c r="A6" t="s">
        <v>96</v>
      </c>
      <c r="B6">
        <v>-5.2630135373536072E-2</v>
      </c>
    </row>
    <row r="7" spans="1:9" x14ac:dyDescent="0.25">
      <c r="A7" t="s">
        <v>97</v>
      </c>
      <c r="B7">
        <v>9.5170798192782815</v>
      </c>
    </row>
    <row r="8" spans="1:9" ht="15.75" thickBot="1" x14ac:dyDescent="0.3">
      <c r="A8" s="1" t="s">
        <v>98</v>
      </c>
      <c r="B8" s="1">
        <v>21</v>
      </c>
    </row>
    <row r="10" spans="1:9" ht="15.75" thickBot="1" x14ac:dyDescent="0.3">
      <c r="A10" t="s">
        <v>99</v>
      </c>
    </row>
    <row r="11" spans="1:9" x14ac:dyDescent="0.25">
      <c r="A11" s="2"/>
      <c r="B11" s="2" t="s">
        <v>104</v>
      </c>
      <c r="C11" s="2" t="s">
        <v>105</v>
      </c>
      <c r="D11" s="2" t="s">
        <v>106</v>
      </c>
      <c r="E11" s="2" t="s">
        <v>107</v>
      </c>
      <c r="F11" s="2" t="s">
        <v>108</v>
      </c>
    </row>
    <row r="12" spans="1:9" x14ac:dyDescent="0.25">
      <c r="A12" t="s">
        <v>100</v>
      </c>
      <c r="B12">
        <v>1</v>
      </c>
      <c r="C12">
        <v>2.360066423761964E-3</v>
      </c>
      <c r="D12">
        <v>2.360066423761964E-3</v>
      </c>
      <c r="E12">
        <v>2.6056543407703407E-5</v>
      </c>
      <c r="F12">
        <v>0.99598038270604727</v>
      </c>
    </row>
    <row r="13" spans="1:9" x14ac:dyDescent="0.25">
      <c r="A13" t="s">
        <v>101</v>
      </c>
      <c r="B13">
        <v>19</v>
      </c>
      <c r="C13">
        <v>1720.9213574437642</v>
      </c>
      <c r="D13">
        <v>90.574808286513914</v>
      </c>
    </row>
    <row r="14" spans="1:9" ht="15.75" thickBot="1" x14ac:dyDescent="0.3">
      <c r="A14" s="1" t="s">
        <v>102</v>
      </c>
      <c r="B14" s="1">
        <v>20</v>
      </c>
      <c r="C14" s="1">
        <v>1720.923717510188</v>
      </c>
      <c r="D14" s="1"/>
      <c r="E14" s="1"/>
      <c r="F14" s="1"/>
    </row>
    <row r="15" spans="1:9" ht="15.75" thickBot="1" x14ac:dyDescent="0.3"/>
    <row r="16" spans="1:9" x14ac:dyDescent="0.25">
      <c r="A16" s="2"/>
      <c r="B16" s="2" t="s">
        <v>109</v>
      </c>
      <c r="C16" s="2" t="s">
        <v>97</v>
      </c>
      <c r="D16" s="2" t="s">
        <v>110</v>
      </c>
      <c r="E16" s="2" t="s">
        <v>111</v>
      </c>
      <c r="F16" s="2" t="s">
        <v>112</v>
      </c>
      <c r="G16" s="2" t="s">
        <v>113</v>
      </c>
      <c r="H16" s="2" t="s">
        <v>114</v>
      </c>
      <c r="I16" s="2" t="s">
        <v>115</v>
      </c>
    </row>
    <row r="17" spans="1:9" x14ac:dyDescent="0.25">
      <c r="A17" t="s">
        <v>103</v>
      </c>
      <c r="B17">
        <v>84.276080068832442</v>
      </c>
      <c r="C17">
        <v>4.6192896532101431</v>
      </c>
      <c r="D17">
        <v>18.244380932091012</v>
      </c>
      <c r="E17">
        <v>1.6803803356275903E-13</v>
      </c>
      <c r="F17">
        <v>74.607795710384195</v>
      </c>
      <c r="G17">
        <v>93.944364427280689</v>
      </c>
      <c r="H17">
        <v>74.607795710384195</v>
      </c>
      <c r="I17">
        <v>93.944364427280689</v>
      </c>
    </row>
    <row r="18" spans="1:9" ht="15.75" thickBot="1" x14ac:dyDescent="0.3">
      <c r="A18" s="1" t="s">
        <v>116</v>
      </c>
      <c r="B18" s="1">
        <v>3.7803517905901293E-3</v>
      </c>
      <c r="C18" s="1">
        <v>0.74058312968711371</v>
      </c>
      <c r="D18" s="1">
        <v>5.104561039875802E-3</v>
      </c>
      <c r="E18" s="1">
        <v>0.99598038270588418</v>
      </c>
      <c r="F18" s="1">
        <v>-1.5462779529335275</v>
      </c>
      <c r="G18" s="1">
        <v>1.5538386565147078</v>
      </c>
      <c r="H18" s="1">
        <v>-1.5462779529335275</v>
      </c>
      <c r="I18" s="1">
        <v>1.5538386565147078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Sheet5</vt:lpstr>
      <vt:lpstr>Combined</vt:lpstr>
      <vt:lpstr>DC Regression Analysis</vt:lpstr>
      <vt:lpstr>Baltimore City Regression Analy</vt:lpstr>
      <vt:lpstr>Baltimore Co. Regression Analy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Carey</dc:creator>
  <cp:lastModifiedBy>Noah Carey</cp:lastModifiedBy>
  <dcterms:created xsi:type="dcterms:W3CDTF">2026-05-02T19:20:12Z</dcterms:created>
  <dcterms:modified xsi:type="dcterms:W3CDTF">2026-05-05T18:45:53Z</dcterms:modified>
</cp:coreProperties>
</file>